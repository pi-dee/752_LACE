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avula2_wisc_edu/Documents/School/ECE752/Final Project/Microbenchmarks/"/>
    </mc:Choice>
  </mc:AlternateContent>
  <xr:revisionPtr revIDLastSave="349" documentId="8_{83D886CD-3EBA-46C4-B451-AC9D0C596454}" xr6:coauthVersionLast="47" xr6:coauthVersionMax="47" xr10:uidLastSave="{569B4917-DBEC-49ED-AE17-0F1A711C1185}"/>
  <bookViews>
    <workbookView xWindow="-108" yWindow="-108" windowWidth="23256" windowHeight="12456" xr2:uid="{64C3F946-4156-478B-807C-EF389CCB9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H2" i="1"/>
  <c r="H3" i="1"/>
  <c r="H4" i="1"/>
  <c r="H5" i="1"/>
  <c r="H6" i="1"/>
  <c r="H7" i="1"/>
  <c r="H8" i="1"/>
  <c r="H9" i="1"/>
</calcChain>
</file>

<file path=xl/sharedStrings.xml><?xml version="1.0" encoding="utf-8"?>
<sst xmlns="http://schemas.openxmlformats.org/spreadsheetml/2006/main" count="149" uniqueCount="82">
  <si>
    <t>MB</t>
  </si>
  <si>
    <t>Name</t>
  </si>
  <si>
    <t>Description</t>
  </si>
  <si>
    <t>MB1</t>
  </si>
  <si>
    <t>MB2</t>
  </si>
  <si>
    <t>MB3</t>
  </si>
  <si>
    <t>MB4</t>
  </si>
  <si>
    <t>MB5</t>
  </si>
  <si>
    <t>MB6</t>
  </si>
  <si>
    <t>MB7</t>
  </si>
  <si>
    <t>MB8</t>
  </si>
  <si>
    <t>CSOPT L2 Misses</t>
  </si>
  <si>
    <t>OPT Total Latency</t>
  </si>
  <si>
    <t>OPT L2 Misses</t>
  </si>
  <si>
    <t>CSOPT Total Latency</t>
  </si>
  <si>
    <t>Normalized L2 Misses</t>
  </si>
  <si>
    <t>1DConv</t>
  </si>
  <si>
    <t>SensorFilter</t>
  </si>
  <si>
    <t>SWPipeline</t>
  </si>
  <si>
    <t>SetThrash</t>
  </si>
  <si>
    <t>Random</t>
  </si>
  <si>
    <t>2DConv</t>
  </si>
  <si>
    <t>Transpose</t>
  </si>
  <si>
    <t>ParSetThrash</t>
  </si>
  <si>
    <t>Single-Thread Local Array Scan with Remote Metadata Array</t>
  </si>
  <si>
    <t>Two-Thread 1D Conv using Data in a Producer/Consumer Model</t>
  </si>
  <si>
    <t>Four-Thread pipeline dataflow between threads</t>
  </si>
  <si>
    <t>Single-Thread Synthetic Workload for a Hot Set with mixed local/remote access</t>
  </si>
  <si>
    <t>Multi-Thread Synthetic Workload for a Hot Set with mixed local/remote access</t>
  </si>
  <si>
    <t>Single-thread random gather/scatter</t>
  </si>
  <si>
    <t>Single-Thread 2DConv over remote input image</t>
  </si>
  <si>
    <t>Single-Thread matrix transpose</t>
  </si>
  <si>
    <t>benchmark</t>
  </si>
  <si>
    <t>simSeconds</t>
  </si>
  <si>
    <t>simInsts</t>
  </si>
  <si>
    <t>l2_hits</t>
  </si>
  <si>
    <t>l2_misses</t>
  </si>
  <si>
    <t>l2_accesses</t>
  </si>
  <si>
    <t>l2_mpki</t>
  </si>
  <si>
    <t>0.46103790419213053</t>
  </si>
  <si>
    <t>0.9855162366449525</t>
  </si>
  <si>
    <t>19.222630110228607</t>
  </si>
  <si>
    <t>2.355843115763539</t>
  </si>
  <si>
    <t>1.8037697011121903</t>
  </si>
  <si>
    <t>0.9049853025696909</t>
  </si>
  <si>
    <t>3.7860543764500862</t>
  </si>
  <si>
    <t>0.9016219273502555</t>
  </si>
  <si>
    <t>2.886426124821383</t>
  </si>
  <si>
    <t>blackscholes</t>
  </si>
  <si>
    <t>bodytrack</t>
  </si>
  <si>
    <t>canneal</t>
  </si>
  <si>
    <t>dedup</t>
  </si>
  <si>
    <t>ferret</t>
  </si>
  <si>
    <t>fluidanimate</t>
  </si>
  <si>
    <t>freqmine</t>
  </si>
  <si>
    <t>raytrace</t>
  </si>
  <si>
    <t>swaptions</t>
  </si>
  <si>
    <t>vips</t>
  </si>
  <si>
    <t>0.9514709906783141</t>
  </si>
  <si>
    <t>18.953247257468433</t>
  </si>
  <si>
    <t>2.3807459490019935</t>
  </si>
  <si>
    <t>1.8286241749453904</t>
  </si>
  <si>
    <t>3.6306213751936203</t>
  </si>
  <si>
    <t>2.884340658207975</t>
  </si>
  <si>
    <t>0.4392442830737637</t>
  </si>
  <si>
    <t>0.9567744046059153</t>
  </si>
  <si>
    <t>19.183611506587958</t>
  </si>
  <si>
    <t>2.3001275241886696</t>
  </si>
  <si>
    <t>2.0178365625247716</t>
  </si>
  <si>
    <t>0.8915758080014707</t>
  </si>
  <si>
    <t>3.5991498372218107</t>
  </si>
  <si>
    <t>0.8954876132534871</t>
  </si>
  <si>
    <t>2.9150077905374716</t>
  </si>
  <si>
    <t>0.47949341998346906</t>
  </si>
  <si>
    <t>1.7829141859088604</t>
  </si>
  <si>
    <t>22.61104035959802</t>
  </si>
  <si>
    <t>14.763895773249583</t>
  </si>
  <si>
    <t>10.783995684181845</t>
  </si>
  <si>
    <t>1.5829074514460628</t>
  </si>
  <si>
    <t>0.5132713905564489</t>
  </si>
  <si>
    <t>6.228402764598978</t>
  </si>
  <si>
    <t>% End to End Latency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</si>
</sst>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horizontal="center" vertical="center"/>
    </xf>
    <xf numFmtId="17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% End to End Latency Improvement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Sheet1!$B$2:$B$9</c:f>
              <c:strCache>
                <c:ptCount val="8"/>
                <c:pt idx="0">
                  <c:v>SensorFilter</c:v>
                </c:pt>
                <c:pt idx="1">
                  <c:v>1DConv</c:v>
                </c:pt>
                <c:pt idx="2">
                  <c:v>SWPipeline</c:v>
                </c:pt>
                <c:pt idx="3">
                  <c:v>SetThrash</c:v>
                </c:pt>
                <c:pt idx="4">
                  <c:v>ParSetThrash</c:v>
                </c:pt>
                <c:pt idx="5">
                  <c:v>Random</c:v>
                </c:pt>
                <c:pt idx="6">
                  <c:v>2DConv</c:v>
                </c:pt>
                <c:pt idx="7">
                  <c:v>Transpose</c:v>
                </c:pt>
              </c:strCache>
            </c:strRef>
          </c:cat>
          <c:val>
            <c:numRef>
              <c:f>Sheet1!$I$2:$I$9</c:f>
              <c:numCache>
                <c:formatCode>0.000</c:formatCode>
                <c:ptCount val="8"/>
                <c:pt idx="0">
                  <c:v>1.0125292438618942</c:v>
                </c:pt>
                <c:pt idx="1">
                  <c:v>1.0249720912167646</c:v>
                </c:pt>
                <c:pt idx="2">
                  <c:v>1</c:v>
                </c:pt>
                <c:pt idx="3">
                  <c:v>1.0199840100377178</c:v>
                </c:pt>
                <c:pt idx="4">
                  <c:v>1.0295086050248703</c:v>
                </c:pt>
                <c:pt idx="5">
                  <c:v>1.059343151772888</c:v>
                </c:pt>
                <c:pt idx="6">
                  <c:v>1.0360935495656898</c:v>
                </c:pt>
                <c:pt idx="7">
                  <c:v>1.0129956683579253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4-4177-A871-A848492AC0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9378272"/>
        <c:axId val="849378752"/>
      </c:barChart>
      <c:catAx>
        <c:axId val="8493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78752"/>
        <c:crosses val="autoZero"/>
        <c:auto val="1"/>
        <c:lblAlgn val="ctr"/>
        <c:lblOffset val="100"/>
        <c:noMultiLvlLbl val="0"/>
      </c:catAx>
      <c:valAx>
        <c:axId val="84937875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7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Normalized L2 Misses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Sheet1!$B$2:$B$9</c:f>
              <c:strCache>
                <c:ptCount val="8"/>
                <c:pt idx="0">
                  <c:v>SensorFilter</c:v>
                </c:pt>
                <c:pt idx="1">
                  <c:v>1DConv</c:v>
                </c:pt>
                <c:pt idx="2">
                  <c:v>SWPipeline</c:v>
                </c:pt>
                <c:pt idx="3">
                  <c:v>SetThrash</c:v>
                </c:pt>
                <c:pt idx="4">
                  <c:v>ParSetThrash</c:v>
                </c:pt>
                <c:pt idx="5">
                  <c:v>Random</c:v>
                </c:pt>
                <c:pt idx="6">
                  <c:v>2DConv</c:v>
                </c:pt>
                <c:pt idx="7">
                  <c:v>Transpose</c:v>
                </c:pt>
              </c:strCache>
            </c:strRef>
          </c:cat>
          <c:val>
            <c:numRef>
              <c:f>Sheet1!$H$2:$H$9</c:f>
              <c:numCache>
                <c:formatCode>0.000</c:formatCode>
                <c:ptCount val="8"/>
                <c:pt idx="0">
                  <c:v>1.0050340431303404</c:v>
                </c:pt>
                <c:pt idx="1">
                  <c:v>1</c:v>
                </c:pt>
                <c:pt idx="2">
                  <c:v>1</c:v>
                </c:pt>
                <c:pt idx="3">
                  <c:v>1.0184595202398801</c:v>
                </c:pt>
                <c:pt idx="4">
                  <c:v>1.0427293934681181</c:v>
                </c:pt>
                <c:pt idx="5">
                  <c:v>1</c:v>
                </c:pt>
                <c:pt idx="6">
                  <c:v>1.0015387003200444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3-43E5-9659-52D1634BAF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0696160"/>
        <c:axId val="950693760"/>
      </c:barChart>
      <c:catAx>
        <c:axId val="95069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693760"/>
        <c:crosses val="autoZero"/>
        <c:auto val="1"/>
        <c:lblAlgn val="ctr"/>
        <c:lblOffset val="100"/>
        <c:noMultiLvlLbl val="0"/>
      </c:catAx>
      <c:valAx>
        <c:axId val="950693760"/>
        <c:scaling>
          <c:orientation val="minMax"/>
          <c:max val="1.07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Increase in L2 Misses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69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29429</xdr:colOff>
      <xdr:row>2</xdr:row>
      <xdr:rowOff>76616</xdr:rowOff>
    </xdr:from>
    <xdr:to>
      <xdr:col>26</xdr:col>
      <xdr:colOff>355680</xdr:colOff>
      <xdr:row>7</xdr:row>
      <xdr:rowOff>418814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DC1EE5-D499-A8B8-7643-5FBC10FF5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8</xdr:row>
      <xdr:rowOff>234950</xdr:rowOff>
    </xdr:from>
    <xdr:to>
      <xdr:col>26</xdr:col>
      <xdr:colOff>345186</xdr:colOff>
      <xdr:row>29</xdr:row>
      <xdr:rowOff>87122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FA596-7146-61C2-8EFF-4734D11A0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D59E-50E0-4D8B-A540-0A03BF1AD1CA}">
  <dimension ref="A1:I100"/>
  <sheetViews>
    <sheetView tabSelected="1" topLeftCell="G2" zoomScale="60" zoomScaleNormal="70" workbookViewId="0">
      <selection activeCell="M6" sqref="M6"/>
    </sheetView>
  </sheetViews>
  <sheetFormatPr defaultRowHeight="15.6" x14ac:dyDescent="0.3"/>
  <cols>
    <col min="1" max="1" width="21.6640625" style="1" bestFit="1" customWidth="1"/>
    <col min="2" max="2" width="13.44140625" style="1" bestFit="1" customWidth="1"/>
    <col min="3" max="3" width="29.6640625" style="1" bestFit="1" customWidth="1"/>
    <col min="4" max="4" width="14.33203125" style="1" bestFit="1" customWidth="1"/>
    <col min="5" max="5" width="17.88671875" style="1" bestFit="1" customWidth="1"/>
    <col min="6" max="6" width="17" style="1" bestFit="1" customWidth="1"/>
    <col min="7" max="7" width="22.5546875" style="1" bestFit="1" customWidth="1"/>
    <col min="8" max="8" width="21.109375" style="1" bestFit="1" customWidth="1"/>
    <col min="9" max="9" width="34.5546875" style="1" bestFit="1" customWidth="1"/>
    <col min="10" max="16384" width="8.88671875" style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13</v>
      </c>
      <c r="E1" s="2" t="s">
        <v>12</v>
      </c>
      <c r="F1" s="2" t="s">
        <v>11</v>
      </c>
      <c r="G1" s="2" t="s">
        <v>14</v>
      </c>
      <c r="H1" s="2" t="s">
        <v>15</v>
      </c>
      <c r="I1" s="2" t="s">
        <v>81</v>
      </c>
    </row>
    <row r="2" spans="1:9" ht="50.4" customHeight="1" x14ac:dyDescent="0.3">
      <c r="A2" s="1" t="s">
        <v>3</v>
      </c>
      <c r="B2" s="1" t="s">
        <v>17</v>
      </c>
      <c r="C2" s="3" t="s">
        <v>24</v>
      </c>
      <c r="D2" s="1">
        <v>184325</v>
      </c>
      <c r="E2" s="1">
        <v>24210760.5</v>
      </c>
      <c r="F2" s="1">
        <v>185252.9</v>
      </c>
      <c r="G2" s="1">
        <v>23911171.600000001</v>
      </c>
      <c r="H2" s="5">
        <f>F2/D2</f>
        <v>1.0050340431303404</v>
      </c>
      <c r="I2" s="5">
        <f>(E2/G2)</f>
        <v>1.0125292438618942</v>
      </c>
    </row>
    <row r="3" spans="1:9" ht="53.4" customHeight="1" x14ac:dyDescent="0.3">
      <c r="A3" s="1" t="s">
        <v>4</v>
      </c>
      <c r="B3" s="1" t="s">
        <v>16</v>
      </c>
      <c r="C3" s="3" t="s">
        <v>25</v>
      </c>
      <c r="D3" s="1">
        <v>98310</v>
      </c>
      <c r="E3" s="1">
        <v>12941341.800000001</v>
      </c>
      <c r="F3" s="1">
        <v>98310</v>
      </c>
      <c r="G3" s="1">
        <v>12626043.1</v>
      </c>
      <c r="H3" s="5">
        <f t="shared" ref="H3:H9" si="0">F3/D3</f>
        <v>1</v>
      </c>
      <c r="I3" s="5">
        <f t="shared" ref="I3:I9" si="1">(E3/G3)</f>
        <v>1.0249720912167646</v>
      </c>
    </row>
    <row r="4" spans="1:9" ht="40.799999999999997" customHeight="1" x14ac:dyDescent="0.3">
      <c r="A4" s="1" t="s">
        <v>5</v>
      </c>
      <c r="B4" s="1" t="s">
        <v>18</v>
      </c>
      <c r="C4" s="3" t="s">
        <v>26</v>
      </c>
      <c r="D4" s="1">
        <v>131072</v>
      </c>
      <c r="E4" s="1">
        <v>17168467.5</v>
      </c>
      <c r="F4" s="1">
        <v>131072</v>
      </c>
      <c r="G4" s="1">
        <v>17168467.5</v>
      </c>
      <c r="H4" s="5">
        <f t="shared" si="0"/>
        <v>1</v>
      </c>
      <c r="I4" s="5">
        <f t="shared" si="1"/>
        <v>1</v>
      </c>
    </row>
    <row r="5" spans="1:9" ht="70.2" customHeight="1" x14ac:dyDescent="0.3">
      <c r="A5" s="1" t="s">
        <v>6</v>
      </c>
      <c r="B5" s="1" t="s">
        <v>19</v>
      </c>
      <c r="C5" s="3" t="s">
        <v>27</v>
      </c>
      <c r="D5" s="1">
        <v>5336</v>
      </c>
      <c r="E5" s="1">
        <v>533276.19999999995</v>
      </c>
      <c r="F5" s="1">
        <v>5434.5</v>
      </c>
      <c r="G5" s="1">
        <v>522828</v>
      </c>
      <c r="H5" s="5">
        <f t="shared" si="0"/>
        <v>1.0184595202398801</v>
      </c>
      <c r="I5" s="5">
        <f t="shared" si="1"/>
        <v>1.0199840100377178</v>
      </c>
    </row>
    <row r="6" spans="1:9" ht="79.8" customHeight="1" x14ac:dyDescent="0.3">
      <c r="A6" s="1" t="s">
        <v>7</v>
      </c>
      <c r="B6" s="1" t="s">
        <v>23</v>
      </c>
      <c r="C6" s="3" t="s">
        <v>28</v>
      </c>
      <c r="D6" s="1">
        <v>18004</v>
      </c>
      <c r="E6" s="1">
        <v>2620633.2000000002</v>
      </c>
      <c r="F6" s="1">
        <v>18773.3</v>
      </c>
      <c r="G6" s="1">
        <v>2545518.5</v>
      </c>
      <c r="H6" s="5">
        <f t="shared" si="0"/>
        <v>1.0427293934681181</v>
      </c>
      <c r="I6" s="5">
        <f t="shared" si="1"/>
        <v>1.0295086050248703</v>
      </c>
    </row>
    <row r="7" spans="1:9" ht="42.6" customHeight="1" x14ac:dyDescent="0.3">
      <c r="A7" s="1" t="s">
        <v>8</v>
      </c>
      <c r="B7" s="1" t="s">
        <v>20</v>
      </c>
      <c r="C7" s="3" t="s">
        <v>29</v>
      </c>
      <c r="D7" s="1">
        <v>139348.79999999999</v>
      </c>
      <c r="E7" s="1">
        <v>18689373.100000001</v>
      </c>
      <c r="F7" s="1">
        <v>139348.79999999999</v>
      </c>
      <c r="G7" s="1">
        <v>17642416.5</v>
      </c>
      <c r="H7" s="5">
        <f t="shared" si="0"/>
        <v>1</v>
      </c>
      <c r="I7" s="5">
        <f t="shared" si="1"/>
        <v>1.059343151772888</v>
      </c>
    </row>
    <row r="8" spans="1:9" ht="43.8" customHeight="1" x14ac:dyDescent="0.3">
      <c r="A8" s="1" t="s">
        <v>9</v>
      </c>
      <c r="B8" s="1" t="s">
        <v>21</v>
      </c>
      <c r="C8" s="3" t="s">
        <v>30</v>
      </c>
      <c r="D8" s="1">
        <v>124564</v>
      </c>
      <c r="E8" s="1">
        <v>16819961.333333299</v>
      </c>
      <c r="F8" s="1">
        <v>124755.666666666</v>
      </c>
      <c r="G8" s="1">
        <v>16234018</v>
      </c>
      <c r="H8" s="5">
        <f t="shared" si="0"/>
        <v>1.0015387003200444</v>
      </c>
      <c r="I8" s="5">
        <f t="shared" si="1"/>
        <v>1.0360935495656898</v>
      </c>
    </row>
    <row r="9" spans="1:9" ht="24.6" customHeight="1" x14ac:dyDescent="0.3">
      <c r="A9" s="1" t="s">
        <v>10</v>
      </c>
      <c r="B9" s="1" t="s">
        <v>22</v>
      </c>
      <c r="C9" s="3" t="s">
        <v>31</v>
      </c>
      <c r="D9" s="1">
        <v>54176</v>
      </c>
      <c r="E9" s="1">
        <v>7370877.4000000004</v>
      </c>
      <c r="F9" s="1">
        <v>54176</v>
      </c>
      <c r="G9" s="1">
        <v>7276316.7999999998</v>
      </c>
      <c r="H9" s="5">
        <f t="shared" si="0"/>
        <v>1</v>
      </c>
      <c r="I9" s="5">
        <f t="shared" si="1"/>
        <v>1.0129956683579253</v>
      </c>
    </row>
    <row r="28" spans="1:7" x14ac:dyDescent="0.3">
      <c r="A28" s="1">
        <v>0</v>
      </c>
    </row>
    <row r="29" spans="1:7" x14ac:dyDescent="0.3">
      <c r="A29" s="1" t="s">
        <v>32</v>
      </c>
      <c r="B29" s="1" t="s">
        <v>33</v>
      </c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38</v>
      </c>
    </row>
    <row r="30" spans="1:7" x14ac:dyDescent="0.3">
      <c r="A30" s="1" t="s">
        <v>48</v>
      </c>
      <c r="G30" s="4"/>
    </row>
    <row r="31" spans="1:7" x14ac:dyDescent="0.3">
      <c r="A31" s="1" t="s">
        <v>49</v>
      </c>
      <c r="G31" s="4"/>
    </row>
    <row r="32" spans="1:7" x14ac:dyDescent="0.3">
      <c r="A32" s="1" t="s">
        <v>50</v>
      </c>
      <c r="G32" s="4"/>
    </row>
    <row r="33" spans="1:7" x14ac:dyDescent="0.3">
      <c r="A33" s="1" t="s">
        <v>51</v>
      </c>
      <c r="G33" s="4"/>
    </row>
    <row r="34" spans="1:7" x14ac:dyDescent="0.3">
      <c r="A34" s="1" t="s">
        <v>52</v>
      </c>
      <c r="G34" s="4"/>
    </row>
    <row r="35" spans="1:7" x14ac:dyDescent="0.3">
      <c r="A35" s="1" t="s">
        <v>53</v>
      </c>
      <c r="G35" s="4"/>
    </row>
    <row r="36" spans="1:7" x14ac:dyDescent="0.3">
      <c r="A36" s="1" t="s">
        <v>54</v>
      </c>
      <c r="G36" s="4"/>
    </row>
    <row r="37" spans="1:7" x14ac:dyDescent="0.3">
      <c r="A37" s="1" t="s">
        <v>55</v>
      </c>
      <c r="G37" s="4"/>
    </row>
    <row r="38" spans="1:7" x14ac:dyDescent="0.3">
      <c r="A38" s="1" t="s">
        <v>56</v>
      </c>
    </row>
    <row r="39" spans="1:7" x14ac:dyDescent="0.3">
      <c r="A39" s="1" t="s">
        <v>57</v>
      </c>
      <c r="G39" s="4"/>
    </row>
    <row r="44" spans="1:7" x14ac:dyDescent="0.3">
      <c r="A44" s="1">
        <v>0.25</v>
      </c>
    </row>
    <row r="45" spans="1:7" x14ac:dyDescent="0.3">
      <c r="A45" s="1" t="s">
        <v>32</v>
      </c>
      <c r="B45" s="1" t="s">
        <v>33</v>
      </c>
      <c r="C45" s="1" t="s">
        <v>34</v>
      </c>
      <c r="D45" s="1" t="s">
        <v>35</v>
      </c>
      <c r="E45" s="1" t="s">
        <v>36</v>
      </c>
      <c r="F45" s="1" t="s">
        <v>37</v>
      </c>
      <c r="G45" s="1" t="s">
        <v>38</v>
      </c>
    </row>
    <row r="46" spans="1:7" x14ac:dyDescent="0.3">
      <c r="A46" s="1" t="s">
        <v>48</v>
      </c>
      <c r="B46" s="1">
        <v>3.1919000000000003E-2</v>
      </c>
      <c r="C46" s="1">
        <v>140567618</v>
      </c>
      <c r="D46" s="1">
        <v>2272347</v>
      </c>
      <c r="E46" s="1">
        <v>64807</v>
      </c>
      <c r="F46" s="1">
        <v>2337154</v>
      </c>
      <c r="G46" s="4" t="s">
        <v>39</v>
      </c>
    </row>
    <row r="47" spans="1:7" x14ac:dyDescent="0.3">
      <c r="A47" s="1" t="s">
        <v>49</v>
      </c>
      <c r="B47" s="1">
        <v>0.172292</v>
      </c>
      <c r="C47" s="1">
        <v>752678619</v>
      </c>
      <c r="D47" s="1">
        <v>10868948</v>
      </c>
      <c r="E47" s="1">
        <v>741777</v>
      </c>
      <c r="F47" s="1">
        <v>11610725</v>
      </c>
      <c r="G47" s="4" t="s">
        <v>40</v>
      </c>
    </row>
    <row r="48" spans="1:7" x14ac:dyDescent="0.3">
      <c r="A48" s="1" t="s">
        <v>50</v>
      </c>
      <c r="B48" s="1">
        <v>5.9114E-2</v>
      </c>
      <c r="C48" s="1">
        <v>279228335</v>
      </c>
      <c r="D48" s="1">
        <v>2425328</v>
      </c>
      <c r="E48" s="1">
        <v>5367503</v>
      </c>
      <c r="F48" s="1">
        <v>7792831</v>
      </c>
      <c r="G48" s="4" t="s">
        <v>41</v>
      </c>
    </row>
    <row r="49" spans="1:7" x14ac:dyDescent="0.3">
      <c r="A49" s="1" t="s">
        <v>51</v>
      </c>
      <c r="B49" s="1">
        <v>0.45087100000000002</v>
      </c>
      <c r="C49" s="1">
        <v>2167207131</v>
      </c>
      <c r="D49" s="1">
        <v>44971014</v>
      </c>
      <c r="E49" s="1">
        <v>5105600</v>
      </c>
      <c r="F49" s="1">
        <v>50076614</v>
      </c>
      <c r="G49" s="4" t="s">
        <v>42</v>
      </c>
    </row>
    <row r="50" spans="1:7" x14ac:dyDescent="0.3">
      <c r="A50" s="1" t="s">
        <v>52</v>
      </c>
      <c r="B50" s="1">
        <v>0.50914999999999999</v>
      </c>
      <c r="C50" s="1">
        <v>1870151715</v>
      </c>
      <c r="D50" s="1">
        <v>19233676</v>
      </c>
      <c r="E50" s="1">
        <v>3373323</v>
      </c>
      <c r="F50" s="1">
        <v>22606999</v>
      </c>
      <c r="G50" s="4" t="s">
        <v>43</v>
      </c>
    </row>
    <row r="51" spans="1:7" x14ac:dyDescent="0.3">
      <c r="A51" s="1" t="s">
        <v>53</v>
      </c>
      <c r="B51" s="1">
        <v>0.168734</v>
      </c>
      <c r="C51" s="1">
        <v>1711658737</v>
      </c>
      <c r="D51" s="1">
        <v>2804253</v>
      </c>
      <c r="E51" s="1">
        <v>1549026</v>
      </c>
      <c r="F51" s="1">
        <v>4353279</v>
      </c>
      <c r="G51" s="4" t="s">
        <v>44</v>
      </c>
    </row>
    <row r="52" spans="1:7" x14ac:dyDescent="0.3">
      <c r="A52" s="1" t="s">
        <v>54</v>
      </c>
      <c r="B52" s="1">
        <v>0.55052100000000004</v>
      </c>
      <c r="C52" s="1">
        <v>2227441067</v>
      </c>
      <c r="D52" s="1">
        <v>13163845</v>
      </c>
      <c r="E52" s="1">
        <v>8433213</v>
      </c>
      <c r="F52" s="1">
        <v>21597058</v>
      </c>
      <c r="G52" s="4" t="s">
        <v>45</v>
      </c>
    </row>
    <row r="53" spans="1:7" x14ac:dyDescent="0.3">
      <c r="A53" s="1" t="s">
        <v>55</v>
      </c>
      <c r="B53" s="1">
        <v>0.14571999999999999</v>
      </c>
      <c r="C53" s="1">
        <v>1020442130</v>
      </c>
      <c r="D53" s="1">
        <v>1150079</v>
      </c>
      <c r="E53" s="1">
        <v>920053</v>
      </c>
      <c r="F53" s="1">
        <v>2070132</v>
      </c>
      <c r="G53" s="4" t="s">
        <v>46</v>
      </c>
    </row>
    <row r="54" spans="1:7" x14ac:dyDescent="0.3">
      <c r="A54" s="1" t="s">
        <v>56</v>
      </c>
      <c r="B54" s="1">
        <v>0.13897799999999999</v>
      </c>
      <c r="C54" s="1">
        <v>1752138261</v>
      </c>
      <c r="D54" s="1">
        <v>16241510</v>
      </c>
      <c r="E54" s="1">
        <v>107644</v>
      </c>
      <c r="F54" s="1">
        <v>16349154</v>
      </c>
      <c r="G54" s="1">
        <v>6.1435790996633002E-2</v>
      </c>
    </row>
    <row r="55" spans="1:7" x14ac:dyDescent="0.3">
      <c r="A55" s="1" t="s">
        <v>57</v>
      </c>
      <c r="B55" s="1">
        <v>0.434423</v>
      </c>
      <c r="C55" s="1">
        <v>3799597331</v>
      </c>
      <c r="D55" s="1">
        <v>20569667</v>
      </c>
      <c r="E55" s="1">
        <v>10967257</v>
      </c>
      <c r="F55" s="1">
        <v>31536924</v>
      </c>
      <c r="G55" s="4" t="s">
        <v>47</v>
      </c>
    </row>
    <row r="58" spans="1:7" x14ac:dyDescent="0.3">
      <c r="A58" s="1">
        <v>0.5</v>
      </c>
    </row>
    <row r="59" spans="1:7" x14ac:dyDescent="0.3">
      <c r="A59" s="1" t="s">
        <v>32</v>
      </c>
      <c r="B59" s="1" t="s">
        <v>33</v>
      </c>
      <c r="C59" s="1" t="s">
        <v>34</v>
      </c>
      <c r="D59" s="1" t="s">
        <v>35</v>
      </c>
      <c r="E59" s="1" t="s">
        <v>36</v>
      </c>
      <c r="F59" s="1" t="s">
        <v>37</v>
      </c>
      <c r="G59" s="1" t="s">
        <v>38</v>
      </c>
    </row>
    <row r="60" spans="1:7" x14ac:dyDescent="0.3">
      <c r="A60" s="1" t="s">
        <v>48</v>
      </c>
      <c r="B60" s="1">
        <v>3.0981999999999999E-2</v>
      </c>
      <c r="C60" s="1">
        <v>140154016</v>
      </c>
      <c r="D60" s="1">
        <v>2268699</v>
      </c>
      <c r="E60" s="1">
        <v>65855</v>
      </c>
      <c r="F60" s="1">
        <v>2334554</v>
      </c>
      <c r="G60" s="1">
        <v>0.46987593990885002</v>
      </c>
    </row>
    <row r="61" spans="1:7" x14ac:dyDescent="0.3">
      <c r="A61" s="1" t="s">
        <v>49</v>
      </c>
      <c r="B61" s="1">
        <v>0.16642199999999999</v>
      </c>
      <c r="C61" s="1">
        <v>752357147</v>
      </c>
      <c r="D61" s="1">
        <v>10898103</v>
      </c>
      <c r="E61" s="1">
        <v>715846</v>
      </c>
      <c r="F61" s="1">
        <v>11613949</v>
      </c>
      <c r="G61" s="4" t="s">
        <v>58</v>
      </c>
    </row>
    <row r="62" spans="1:7" x14ac:dyDescent="0.3">
      <c r="A62" s="1" t="s">
        <v>50</v>
      </c>
      <c r="B62" s="1">
        <v>4.0708000000000001E-2</v>
      </c>
      <c r="C62" s="1">
        <v>277377482</v>
      </c>
      <c r="D62" s="1">
        <v>2722542</v>
      </c>
      <c r="E62" s="1">
        <v>5257204</v>
      </c>
      <c r="F62" s="1">
        <v>7979746</v>
      </c>
      <c r="G62" s="4" t="s">
        <v>59</v>
      </c>
    </row>
    <row r="63" spans="1:7" x14ac:dyDescent="0.3">
      <c r="A63" s="1" t="s">
        <v>51</v>
      </c>
      <c r="B63" s="1">
        <v>0.474914</v>
      </c>
      <c r="C63" s="1">
        <v>2168453548</v>
      </c>
      <c r="D63" s="1">
        <v>45287007</v>
      </c>
      <c r="E63" s="1">
        <v>5162537</v>
      </c>
      <c r="F63" s="1">
        <v>50449544</v>
      </c>
      <c r="G63" s="4" t="s">
        <v>60</v>
      </c>
    </row>
    <row r="64" spans="1:7" x14ac:dyDescent="0.3">
      <c r="A64" s="1" t="s">
        <v>52</v>
      </c>
      <c r="B64" s="1">
        <v>0.51130900000000001</v>
      </c>
      <c r="C64" s="1">
        <v>1868573131</v>
      </c>
      <c r="D64" s="1">
        <v>19217151</v>
      </c>
      <c r="E64" s="1">
        <v>3416918</v>
      </c>
      <c r="F64" s="1">
        <v>22634069</v>
      </c>
      <c r="G64" s="4" t="s">
        <v>61</v>
      </c>
    </row>
    <row r="65" spans="1:7" x14ac:dyDescent="0.3">
      <c r="A65" s="1" t="s">
        <v>53</v>
      </c>
      <c r="B65" s="1">
        <v>0.16359799999999999</v>
      </c>
      <c r="C65" s="1">
        <v>1698750852</v>
      </c>
      <c r="D65" s="1">
        <v>2737769</v>
      </c>
      <c r="E65" s="1">
        <v>1572985</v>
      </c>
      <c r="F65" s="1">
        <v>4310754</v>
      </c>
      <c r="G65" s="1">
        <v>0.92596568716835004</v>
      </c>
    </row>
    <row r="66" spans="1:7" x14ac:dyDescent="0.3">
      <c r="A66" s="1" t="s">
        <v>54</v>
      </c>
      <c r="B66" s="1">
        <v>0.56292299999999995</v>
      </c>
      <c r="C66" s="1">
        <v>2255053379</v>
      </c>
      <c r="D66" s="1">
        <v>12660432</v>
      </c>
      <c r="E66" s="1">
        <v>8187245</v>
      </c>
      <c r="F66" s="1">
        <v>20847677</v>
      </c>
      <c r="G66" s="4" t="s">
        <v>62</v>
      </c>
    </row>
    <row r="67" spans="1:7" x14ac:dyDescent="0.3">
      <c r="A67" s="1" t="s">
        <v>55</v>
      </c>
      <c r="B67" s="1">
        <v>0.14366399999999999</v>
      </c>
      <c r="C67" s="1">
        <v>1021856176</v>
      </c>
      <c r="D67" s="1">
        <v>1156137</v>
      </c>
      <c r="E67" s="1">
        <v>908002</v>
      </c>
      <c r="F67" s="1">
        <v>2064139</v>
      </c>
      <c r="G67" s="1">
        <v>0.88858101690428104</v>
      </c>
    </row>
    <row r="68" spans="1:7" x14ac:dyDescent="0.3">
      <c r="A68" s="1" t="s">
        <v>56</v>
      </c>
      <c r="B68" s="1">
        <v>0.14041200000000001</v>
      </c>
      <c r="C68" s="1">
        <v>1757853824</v>
      </c>
      <c r="D68" s="1">
        <v>16307408</v>
      </c>
      <c r="E68" s="1">
        <v>146895</v>
      </c>
      <c r="F68" s="1">
        <v>16454303</v>
      </c>
      <c r="G68" s="1">
        <v>8.3564968824165406E-2</v>
      </c>
    </row>
    <row r="69" spans="1:7" x14ac:dyDescent="0.3">
      <c r="A69" s="1" t="s">
        <v>57</v>
      </c>
      <c r="B69" s="1">
        <v>0.433562</v>
      </c>
      <c r="C69" s="1">
        <v>3799930833</v>
      </c>
      <c r="D69" s="1">
        <v>20631964</v>
      </c>
      <c r="E69" s="1">
        <v>10960295</v>
      </c>
      <c r="F69" s="1">
        <v>31592259</v>
      </c>
      <c r="G69" s="4" t="s">
        <v>63</v>
      </c>
    </row>
    <row r="74" spans="1:7" x14ac:dyDescent="0.3">
      <c r="A74" s="1">
        <v>0.75</v>
      </c>
    </row>
    <row r="75" spans="1:7" x14ac:dyDescent="0.3">
      <c r="A75" s="1" t="s">
        <v>32</v>
      </c>
      <c r="B75" s="1" t="s">
        <v>33</v>
      </c>
      <c r="C75" s="1" t="s">
        <v>34</v>
      </c>
      <c r="D75" s="1" t="s">
        <v>35</v>
      </c>
      <c r="E75" s="1" t="s">
        <v>36</v>
      </c>
      <c r="F75" s="1" t="s">
        <v>37</v>
      </c>
      <c r="G75" s="1" t="s">
        <v>38</v>
      </c>
    </row>
    <row r="76" spans="1:7" x14ac:dyDescent="0.3">
      <c r="A76" s="1" t="s">
        <v>48</v>
      </c>
      <c r="B76" s="1">
        <v>3.0981999999999999E-2</v>
      </c>
      <c r="C76" s="1">
        <v>140247699</v>
      </c>
      <c r="D76" s="1">
        <v>2277483</v>
      </c>
      <c r="E76" s="1">
        <v>61603</v>
      </c>
      <c r="F76" s="1">
        <v>2339086</v>
      </c>
      <c r="G76" s="4" t="s">
        <v>64</v>
      </c>
    </row>
    <row r="77" spans="1:7" x14ac:dyDescent="0.3">
      <c r="A77" s="1" t="s">
        <v>49</v>
      </c>
      <c r="B77" s="1">
        <v>0.16653100000000001</v>
      </c>
      <c r="C77" s="1">
        <v>752340360</v>
      </c>
      <c r="D77" s="1">
        <v>10888057</v>
      </c>
      <c r="E77" s="1">
        <v>719820</v>
      </c>
      <c r="F77" s="1">
        <v>11607877</v>
      </c>
      <c r="G77" s="4" t="s">
        <v>65</v>
      </c>
    </row>
    <row r="78" spans="1:7" x14ac:dyDescent="0.3">
      <c r="A78" s="1" t="s">
        <v>50</v>
      </c>
      <c r="B78" s="1">
        <v>4.8467999999999997E-2</v>
      </c>
      <c r="C78" s="1">
        <v>278462009</v>
      </c>
      <c r="D78" s="1">
        <v>2639694</v>
      </c>
      <c r="E78" s="1">
        <v>5341907</v>
      </c>
      <c r="F78" s="1">
        <v>7981601</v>
      </c>
      <c r="G78" s="4" t="s">
        <v>66</v>
      </c>
    </row>
    <row r="79" spans="1:7" x14ac:dyDescent="0.3">
      <c r="A79" s="1" t="s">
        <v>51</v>
      </c>
      <c r="B79" s="1">
        <v>0.50472300000000003</v>
      </c>
      <c r="C79" s="1">
        <v>2172148695</v>
      </c>
      <c r="D79" s="1">
        <v>45807906</v>
      </c>
      <c r="E79" s="1">
        <v>4996219</v>
      </c>
      <c r="F79" s="1">
        <v>50804125</v>
      </c>
      <c r="G79" s="4" t="s">
        <v>67</v>
      </c>
    </row>
    <row r="80" spans="1:7" x14ac:dyDescent="0.3">
      <c r="A80" s="1" t="s">
        <v>52</v>
      </c>
      <c r="B80" s="1">
        <v>0.50344100000000003</v>
      </c>
      <c r="C80" s="1">
        <v>1868016999</v>
      </c>
      <c r="D80" s="1">
        <v>18753404</v>
      </c>
      <c r="E80" s="1">
        <v>3769353</v>
      </c>
      <c r="F80" s="1">
        <v>22522757</v>
      </c>
      <c r="G80" s="4" t="s">
        <v>68</v>
      </c>
    </row>
    <row r="81" spans="1:7" x14ac:dyDescent="0.3">
      <c r="A81" s="1" t="s">
        <v>53</v>
      </c>
      <c r="B81" s="1">
        <v>0.145677</v>
      </c>
      <c r="C81" s="1">
        <v>1613157274</v>
      </c>
      <c r="D81" s="1">
        <v>2637613</v>
      </c>
      <c r="E81" s="1">
        <v>1438252</v>
      </c>
      <c r="F81" s="1">
        <v>4075865</v>
      </c>
      <c r="G81" s="4" t="s">
        <v>69</v>
      </c>
    </row>
    <row r="82" spans="1:7" x14ac:dyDescent="0.3">
      <c r="A82" s="1" t="s">
        <v>54</v>
      </c>
      <c r="B82" s="1">
        <v>0.56632199999999999</v>
      </c>
      <c r="C82" s="1">
        <v>2256136412</v>
      </c>
      <c r="D82" s="1">
        <v>12609268</v>
      </c>
      <c r="E82" s="1">
        <v>8120173</v>
      </c>
      <c r="F82" s="1">
        <v>20729441</v>
      </c>
      <c r="G82" s="4" t="s">
        <v>70</v>
      </c>
    </row>
    <row r="83" spans="1:7" x14ac:dyDescent="0.3">
      <c r="A83" s="1" t="s">
        <v>55</v>
      </c>
      <c r="B83" s="1">
        <v>0.15057699999999999</v>
      </c>
      <c r="C83" s="1">
        <v>1020665151</v>
      </c>
      <c r="D83" s="1">
        <v>1157510</v>
      </c>
      <c r="E83" s="1">
        <v>913993</v>
      </c>
      <c r="F83" s="1">
        <v>2071503</v>
      </c>
      <c r="G83" s="4" t="s">
        <v>71</v>
      </c>
    </row>
    <row r="84" spans="1:7" x14ac:dyDescent="0.3">
      <c r="A84" s="1" t="s">
        <v>56</v>
      </c>
      <c r="B84" s="1">
        <v>0.137022</v>
      </c>
      <c r="C84" s="1">
        <v>1752647969</v>
      </c>
      <c r="D84" s="1">
        <v>16220729</v>
      </c>
      <c r="E84" s="1">
        <v>100389</v>
      </c>
      <c r="F84" s="1">
        <v>16321118</v>
      </c>
      <c r="G84" s="1">
        <v>5.7278473358958901E-2</v>
      </c>
    </row>
    <row r="85" spans="1:7" x14ac:dyDescent="0.3">
      <c r="A85" s="1" t="s">
        <v>57</v>
      </c>
      <c r="B85" s="1">
        <v>0.43521300000000002</v>
      </c>
      <c r="C85" s="1">
        <v>3801196016</v>
      </c>
      <c r="D85" s="1">
        <v>20611773</v>
      </c>
      <c r="E85" s="1">
        <v>11080516</v>
      </c>
      <c r="F85" s="1">
        <v>31692289</v>
      </c>
      <c r="G85" s="4" t="s">
        <v>72</v>
      </c>
    </row>
    <row r="90" spans="1:7" x14ac:dyDescent="0.3">
      <c r="A90" s="1">
        <v>1</v>
      </c>
    </row>
    <row r="91" spans="1:7" x14ac:dyDescent="0.3">
      <c r="A91" s="1" t="s">
        <v>32</v>
      </c>
      <c r="B91" s="1" t="s">
        <v>33</v>
      </c>
      <c r="C91" s="1" t="s">
        <v>34</v>
      </c>
      <c r="D91" s="1" t="s">
        <v>35</v>
      </c>
      <c r="E91" s="1" t="s">
        <v>36</v>
      </c>
      <c r="F91" s="1" t="s">
        <v>37</v>
      </c>
      <c r="G91" s="1" t="s">
        <v>38</v>
      </c>
    </row>
    <row r="92" spans="1:7" x14ac:dyDescent="0.3">
      <c r="A92" s="1" t="s">
        <v>48</v>
      </c>
      <c r="B92" s="1">
        <v>3.1307000000000001E-2</v>
      </c>
      <c r="C92" s="1">
        <v>139595242</v>
      </c>
      <c r="D92" s="1">
        <v>2265520</v>
      </c>
      <c r="E92" s="1">
        <v>66935</v>
      </c>
      <c r="F92" s="1">
        <v>2332455</v>
      </c>
      <c r="G92" s="4" t="s">
        <v>73</v>
      </c>
    </row>
    <row r="93" spans="1:7" x14ac:dyDescent="0.3">
      <c r="A93" s="1" t="s">
        <v>49</v>
      </c>
      <c r="B93" s="1">
        <v>0.18060499999999999</v>
      </c>
      <c r="C93" s="1">
        <v>752328413</v>
      </c>
      <c r="D93" s="1">
        <v>10523466</v>
      </c>
      <c r="E93" s="1">
        <v>1341337</v>
      </c>
      <c r="F93" s="1">
        <v>11864803</v>
      </c>
      <c r="G93" s="4" t="s">
        <v>74</v>
      </c>
    </row>
    <row r="94" spans="1:7" x14ac:dyDescent="0.3">
      <c r="A94" s="1" t="s">
        <v>50</v>
      </c>
      <c r="B94" s="1">
        <v>4.3739E-2</v>
      </c>
      <c r="C94" s="1">
        <v>275711418</v>
      </c>
      <c r="D94" s="1">
        <v>2533571</v>
      </c>
      <c r="E94" s="1">
        <v>6234122</v>
      </c>
      <c r="F94" s="1">
        <v>8767693</v>
      </c>
      <c r="G94" s="4" t="s">
        <v>75</v>
      </c>
    </row>
    <row r="95" spans="1:7" x14ac:dyDescent="0.3">
      <c r="A95" s="1" t="s">
        <v>51</v>
      </c>
      <c r="B95" s="1">
        <v>0.60971699999999995</v>
      </c>
      <c r="C95" s="1">
        <v>2168592795</v>
      </c>
      <c r="D95" s="1">
        <v>29320927</v>
      </c>
      <c r="E95" s="1">
        <v>32016878</v>
      </c>
      <c r="F95" s="1">
        <v>61337805</v>
      </c>
      <c r="G95" s="4" t="s">
        <v>76</v>
      </c>
    </row>
    <row r="96" spans="1:7" x14ac:dyDescent="0.3">
      <c r="A96" s="1" t="s">
        <v>53</v>
      </c>
      <c r="B96" s="1">
        <v>0.15457599999999999</v>
      </c>
      <c r="C96" s="1">
        <v>1634394128</v>
      </c>
      <c r="D96" s="1">
        <v>2311273</v>
      </c>
      <c r="E96" s="1">
        <v>3370555</v>
      </c>
      <c r="F96" s="1">
        <v>5681828</v>
      </c>
      <c r="G96" s="1">
        <v>2.0622657303134901</v>
      </c>
    </row>
    <row r="97" spans="1:7" x14ac:dyDescent="0.3">
      <c r="A97" s="1" t="s">
        <v>54</v>
      </c>
      <c r="B97" s="1">
        <v>0.59109599999999995</v>
      </c>
      <c r="C97" s="1">
        <v>2251831669</v>
      </c>
      <c r="D97" s="1">
        <v>8313345</v>
      </c>
      <c r="E97" s="1">
        <v>24283743</v>
      </c>
      <c r="F97" s="1">
        <v>32597088</v>
      </c>
      <c r="G97" s="4" t="s">
        <v>77</v>
      </c>
    </row>
    <row r="98" spans="1:7" x14ac:dyDescent="0.3">
      <c r="A98" s="1" t="s">
        <v>55</v>
      </c>
      <c r="B98" s="1">
        <v>0.138936</v>
      </c>
      <c r="C98" s="1">
        <v>1022889240</v>
      </c>
      <c r="D98" s="1">
        <v>994722</v>
      </c>
      <c r="E98" s="1">
        <v>1619139</v>
      </c>
      <c r="F98" s="1">
        <v>2613861</v>
      </c>
      <c r="G98" s="4" t="s">
        <v>78</v>
      </c>
    </row>
    <row r="99" spans="1:7" x14ac:dyDescent="0.3">
      <c r="A99" s="1" t="s">
        <v>56</v>
      </c>
      <c r="B99" s="1">
        <v>0.148835</v>
      </c>
      <c r="C99" s="1">
        <v>1758106952</v>
      </c>
      <c r="D99" s="1">
        <v>15778007</v>
      </c>
      <c r="E99" s="1">
        <v>902386</v>
      </c>
      <c r="F99" s="1">
        <v>16680393</v>
      </c>
      <c r="G99" s="4" t="s">
        <v>79</v>
      </c>
    </row>
    <row r="100" spans="1:7" x14ac:dyDescent="0.3">
      <c r="A100" s="1" t="s">
        <v>57</v>
      </c>
      <c r="B100" s="1">
        <v>0.44859399999999999</v>
      </c>
      <c r="C100" s="1">
        <v>3799894916</v>
      </c>
      <c r="D100" s="1">
        <v>14115961</v>
      </c>
      <c r="E100" s="1">
        <v>23667276</v>
      </c>
      <c r="F100" s="1">
        <v>37783237</v>
      </c>
      <c r="G100" s="4" t="s">
        <v>80</v>
      </c>
    </row>
  </sheetData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Kumarasamy Avula</dc:creator>
  <cp:lastModifiedBy>Ashwin Kumarasamy Avula</cp:lastModifiedBy>
  <dcterms:created xsi:type="dcterms:W3CDTF">2025-12-05T20:28:21Z</dcterms:created>
  <dcterms:modified xsi:type="dcterms:W3CDTF">2025-12-12T03:39:34Z</dcterms:modified>
</cp:coreProperties>
</file>